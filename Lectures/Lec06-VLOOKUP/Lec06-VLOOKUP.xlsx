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ExcelCourse2026\Lectures\"/>
    </mc:Choice>
  </mc:AlternateContent>
  <xr:revisionPtr revIDLastSave="0" documentId="13_ncr:1_{E20CCAED-6461-472A-A981-6AC62CE5C14B}" xr6:coauthVersionLast="47" xr6:coauthVersionMax="47" xr10:uidLastSave="{00000000-0000-0000-0000-000000000000}"/>
  <bookViews>
    <workbookView xWindow="-120" yWindow="-120" windowWidth="24240" windowHeight="13140" activeTab="2" xr2:uid="{8460B3E6-BDD8-4156-851A-9331BBE7D1BC}"/>
  </bookViews>
  <sheets>
    <sheet name="Marksheet" sheetId="1" r:id="rId1"/>
    <sheet name="Attendance_Sheet" sheetId="3" r:id="rId2"/>
    <sheet name="Summa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2" i="2"/>
  <c r="H4" i="3"/>
  <c r="H5" i="3"/>
  <c r="G2" i="3"/>
  <c r="H2" i="3" s="1"/>
  <c r="G3" i="3"/>
  <c r="H3" i="3" s="1"/>
  <c r="G4" i="3"/>
  <c r="G5" i="3"/>
  <c r="G6" i="3"/>
  <c r="H6" i="3" s="1"/>
  <c r="G7" i="3"/>
  <c r="H7" i="3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J5" i="1" l="1"/>
  <c r="I5" i="1"/>
  <c r="I2" i="1"/>
  <c r="J2" i="1"/>
  <c r="I6" i="1"/>
  <c r="J6" i="1"/>
  <c r="I4" i="1"/>
  <c r="J4" i="1"/>
  <c r="J3" i="1"/>
  <c r="I3" i="1"/>
  <c r="J7" i="1"/>
  <c r="I7" i="1"/>
</calcChain>
</file>

<file path=xl/sharedStrings.xml><?xml version="1.0" encoding="utf-8"?>
<sst xmlns="http://schemas.openxmlformats.org/spreadsheetml/2006/main" count="49" uniqueCount="29">
  <si>
    <t>ROLL NO</t>
  </si>
  <si>
    <t>Name</t>
  </si>
  <si>
    <t>Section</t>
  </si>
  <si>
    <t>Sub 1</t>
  </si>
  <si>
    <t>Sub 2</t>
  </si>
  <si>
    <t>Sub 3</t>
  </si>
  <si>
    <t>Obtained</t>
  </si>
  <si>
    <t>Percentage</t>
  </si>
  <si>
    <t>Result</t>
  </si>
  <si>
    <t>Grade</t>
  </si>
  <si>
    <t>Saad</t>
  </si>
  <si>
    <t>A</t>
  </si>
  <si>
    <t>Uzair</t>
  </si>
  <si>
    <t>Umair</t>
  </si>
  <si>
    <t>Taha</t>
  </si>
  <si>
    <t>Hussain</t>
  </si>
  <si>
    <t>Abdul Rehman</t>
  </si>
  <si>
    <t>ROLL NO:</t>
  </si>
  <si>
    <t>NAME:</t>
  </si>
  <si>
    <t>SECTION:</t>
  </si>
  <si>
    <t>OBTAINED:</t>
  </si>
  <si>
    <t>PERCENTAGE:</t>
  </si>
  <si>
    <t>GRADE:</t>
  </si>
  <si>
    <t>JAN</t>
  </si>
  <si>
    <t>FEB</t>
  </si>
  <si>
    <t>MAR</t>
  </si>
  <si>
    <t>OBTAINED</t>
  </si>
  <si>
    <t>PERCENTAGE</t>
  </si>
  <si>
    <t>ATTENDANCE: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</si>
</sst>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D559B0-2DEC-44F1-957E-78D24964B0A1}" name="Table1" displayName="Table1" ref="A1:J7" totalsRowShown="0">
  <autoFilter ref="A1:J7" xr:uid="{CBD559B0-2DEC-44F1-957E-78D24964B0A1}"/>
  <tableColumns count="10">
    <tableColumn id="1" xr3:uid="{62F4C45D-CC09-4C4A-97AF-23F0775C5BA6}" name="ROLL NO"/>
    <tableColumn id="2" xr3:uid="{0FFAE561-AF39-43A5-A7F3-EB9F6B73947B}" name="Name"/>
    <tableColumn id="3" xr3:uid="{76344F20-EC3C-4FAB-A7D8-97E242F2FAC4}" name="Section"/>
    <tableColumn id="4" xr3:uid="{53BF0147-9D4F-4F24-AF02-17B93EA1A834}" name="Sub 1"/>
    <tableColumn id="5" xr3:uid="{01C3D25E-76C6-49D1-8D12-B2B07F44E39F}" name="Sub 2"/>
    <tableColumn id="6" xr3:uid="{0DCB1813-5BAE-4F8E-ADEF-95337789D0B4}" name="Sub 3"/>
    <tableColumn id="7" xr3:uid="{4317DDD7-9490-4E6B-9EF0-B195A20F1561}" name="Obtained">
      <calculatedColumnFormula>SUM(D2,E2,F2)</calculatedColumnFormula>
    </tableColumn>
    <tableColumn id="8" xr3:uid="{9900F2DB-33A6-4C73-A7B4-822DAB36E230}" name="Percentage" dataDxfId="2" dataCellStyle="Percent">
      <calculatedColumnFormula>G2/300</calculatedColumnFormula>
    </tableColumn>
    <tableColumn id="9" xr3:uid="{AE062804-B983-45B4-A5B3-E7592144A180}" name="Result">
      <calculatedColumnFormula>IF(H2&gt;=40%, "PASS","FAIL")</calculatedColumnFormula>
    </tableColumn>
    <tableColumn id="10" xr3:uid="{FCA0E3D7-07DE-4A54-9859-734EBEA40944}" name="Grade">
      <calculatedColumnFormula>IF(H2&gt;=80%, "A+", IF(H2&gt;=70%, "A", IF(H2&gt;=60%, "B", IF(H2&gt;=50%, "C", IF(H2&gt;=40%, "D", "F")))))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EE1726-4253-49F3-BA41-09087B73EA7A}" name="Table13" displayName="Table13" ref="A1:H7" totalsRowShown="0">
  <autoFilter ref="A1:H7" xr:uid="{DFEE1726-4253-49F3-BA41-09087B73EA7A}"/>
  <tableColumns count="8">
    <tableColumn id="1" xr3:uid="{62693B0D-F43D-4ABF-A603-CDF2DEA6879A}" name="ROLL NO"/>
    <tableColumn id="2" xr3:uid="{AC292710-19C9-4E67-B6CA-962533AE7E97}" name="Name"/>
    <tableColumn id="3" xr3:uid="{5C7EC810-9376-47CE-A748-EE559B8F1A25}" name="Section"/>
    <tableColumn id="4" xr3:uid="{FD722DAF-A1A7-4EB2-BA90-2F8870816108}" name="JAN"/>
    <tableColumn id="5" xr3:uid="{158AE095-03AE-47D5-A51D-7E53F032D300}" name="FEB"/>
    <tableColumn id="6" xr3:uid="{19AED3DA-69F0-4FBC-B26E-42C2A4A60739}" name="MAR"/>
    <tableColumn id="7" xr3:uid="{2DF9F6DB-05F4-4805-B5E3-3CEF243D3BA6}" name="OBTAINED" dataDxfId="1">
      <calculatedColumnFormula>SUM(Table13[[#This Row],[JAN]:[MAR]])</calculatedColumnFormula>
    </tableColumn>
    <tableColumn id="8" xr3:uid="{307C6C39-7FE6-4C50-9FE7-A6662B976DA7}" name="PERCENTAGE" dataDxfId="0" dataCellStyle="Percent">
      <calculatedColumnFormula>Table13[[#This Row],[OBTAINED]]/90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32E89-9FF7-45D0-B12E-F60F3BB62A58}">
  <dimension ref="A1:J7"/>
  <sheetViews>
    <sheetView zoomScale="172" zoomScaleNormal="172" workbookViewId="0">
      <selection activeCell="A7" sqref="A7"/>
    </sheetView>
  </sheetViews>
  <sheetFormatPr defaultRowHeight="15" x14ac:dyDescent="0.25"/>
  <cols>
    <col min="2" max="2" width="14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1001</v>
      </c>
      <c r="B2" t="s">
        <v>10</v>
      </c>
      <c r="C2" t="s">
        <v>11</v>
      </c>
      <c r="D2">
        <v>94</v>
      </c>
      <c r="E2">
        <v>100</v>
      </c>
      <c r="F2">
        <v>40</v>
      </c>
      <c r="G2">
        <f t="shared" ref="G2:G7" si="0">SUM(D2,E2,F2)</f>
        <v>234</v>
      </c>
      <c r="H2" s="1">
        <f>G2/300</f>
        <v>0.78</v>
      </c>
      <c r="I2" t="str">
        <f>IF(H2&gt;=40%, "PASS","FAIL")</f>
        <v>PASS</v>
      </c>
      <c r="J2" t="str">
        <f>IF(H2&gt;=80%, "A+", IF(H2&gt;=70%, "A", IF(H2&gt;=60%, "B", IF(H2&gt;=50%, "C", IF(H2&gt;=40%, "D", "F")))))</f>
        <v>A</v>
      </c>
    </row>
    <row r="3" spans="1:10" x14ac:dyDescent="0.25">
      <c r="A3">
        <v>1002</v>
      </c>
      <c r="B3" t="s">
        <v>12</v>
      </c>
      <c r="C3" t="s">
        <v>11</v>
      </c>
      <c r="D3">
        <v>82</v>
      </c>
      <c r="E3">
        <v>32</v>
      </c>
      <c r="F3">
        <v>44</v>
      </c>
      <c r="G3">
        <f t="shared" si="0"/>
        <v>158</v>
      </c>
      <c r="H3" s="1">
        <f t="shared" ref="H3:H7" si="1">G3/300</f>
        <v>0.52666666666666662</v>
      </c>
      <c r="I3" t="str">
        <f t="shared" ref="I3:I7" si="2">IF(H3&gt;=40%, "PASS","FAIL")</f>
        <v>PASS</v>
      </c>
      <c r="J3" t="str">
        <f t="shared" ref="J3:J7" si="3">IF(H3&gt;=80%, "A+", IF(H3&gt;=70%, "A", IF(H3&gt;=60%, "B", IF(H3&gt;=50%, "C", IF(H3&gt;=40%, "D", "F")))))</f>
        <v>C</v>
      </c>
    </row>
    <row r="4" spans="1:10" x14ac:dyDescent="0.25">
      <c r="A4">
        <v>1003</v>
      </c>
      <c r="B4" t="s">
        <v>13</v>
      </c>
      <c r="C4" t="s">
        <v>11</v>
      </c>
      <c r="D4">
        <v>100</v>
      </c>
      <c r="E4">
        <v>45</v>
      </c>
      <c r="F4">
        <v>52</v>
      </c>
      <c r="G4">
        <f t="shared" si="0"/>
        <v>197</v>
      </c>
      <c r="H4" s="1">
        <f t="shared" si="1"/>
        <v>0.65666666666666662</v>
      </c>
      <c r="I4" t="str">
        <f t="shared" si="2"/>
        <v>PASS</v>
      </c>
      <c r="J4" t="str">
        <f t="shared" si="3"/>
        <v>B</v>
      </c>
    </row>
    <row r="5" spans="1:10" x14ac:dyDescent="0.25">
      <c r="A5">
        <v>1004</v>
      </c>
      <c r="B5" t="s">
        <v>14</v>
      </c>
      <c r="C5" t="s">
        <v>11</v>
      </c>
      <c r="D5">
        <v>44</v>
      </c>
      <c r="E5">
        <v>21</v>
      </c>
      <c r="F5">
        <v>51</v>
      </c>
      <c r="G5">
        <f t="shared" si="0"/>
        <v>116</v>
      </c>
      <c r="H5" s="1">
        <f t="shared" si="1"/>
        <v>0.38666666666666666</v>
      </c>
      <c r="I5" t="str">
        <f t="shared" si="2"/>
        <v>FAIL</v>
      </c>
      <c r="J5" t="str">
        <f t="shared" si="3"/>
        <v>F</v>
      </c>
    </row>
    <row r="6" spans="1:10" x14ac:dyDescent="0.25">
      <c r="A6">
        <v>1005</v>
      </c>
      <c r="B6" t="s">
        <v>15</v>
      </c>
      <c r="C6" t="s">
        <v>11</v>
      </c>
      <c r="D6">
        <v>73</v>
      </c>
      <c r="E6">
        <v>10</v>
      </c>
      <c r="F6">
        <v>57</v>
      </c>
      <c r="G6">
        <f t="shared" si="0"/>
        <v>140</v>
      </c>
      <c r="H6" s="1">
        <f t="shared" si="1"/>
        <v>0.46666666666666667</v>
      </c>
      <c r="I6" t="str">
        <f t="shared" si="2"/>
        <v>PASS</v>
      </c>
      <c r="J6" t="str">
        <f t="shared" si="3"/>
        <v>D</v>
      </c>
    </row>
    <row r="7" spans="1:10" x14ac:dyDescent="0.25">
      <c r="A7">
        <v>1006</v>
      </c>
      <c r="B7" t="s">
        <v>16</v>
      </c>
      <c r="C7" t="s">
        <v>11</v>
      </c>
      <c r="D7">
        <v>100</v>
      </c>
      <c r="E7">
        <v>0</v>
      </c>
      <c r="F7">
        <v>93</v>
      </c>
      <c r="G7">
        <f t="shared" si="0"/>
        <v>193</v>
      </c>
      <c r="H7" s="1">
        <f t="shared" si="1"/>
        <v>0.64333333333333331</v>
      </c>
      <c r="I7" t="str">
        <f t="shared" si="2"/>
        <v>PASS</v>
      </c>
      <c r="J7" t="str">
        <f t="shared" si="3"/>
        <v>B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348D-56A3-4DA8-BC90-C4AF8111D371}">
  <dimension ref="A1:H7"/>
  <sheetViews>
    <sheetView zoomScale="184" zoomScaleNormal="184" workbookViewId="0">
      <selection activeCell="H2" sqref="H2"/>
    </sheetView>
  </sheetViews>
  <sheetFormatPr defaultRowHeight="15" x14ac:dyDescent="0.25"/>
  <cols>
    <col min="7" max="7" width="12.5703125" bestFit="1" customWidth="1"/>
    <col min="8" max="8" width="1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25">
      <c r="A2">
        <v>1001</v>
      </c>
      <c r="B2" t="s">
        <v>10</v>
      </c>
      <c r="C2" t="s">
        <v>11</v>
      </c>
      <c r="D2">
        <v>24</v>
      </c>
      <c r="E2">
        <v>24</v>
      </c>
      <c r="F2">
        <v>18</v>
      </c>
      <c r="G2">
        <f>SUM(Table13[[#This Row],[JAN]:[MAR]])</f>
        <v>66</v>
      </c>
      <c r="H2" s="1">
        <f>Table13[[#This Row],[OBTAINED]]/90</f>
        <v>0.73333333333333328</v>
      </c>
    </row>
    <row r="3" spans="1:8" x14ac:dyDescent="0.25">
      <c r="A3">
        <v>1002</v>
      </c>
      <c r="B3" t="s">
        <v>12</v>
      </c>
      <c r="C3" t="s">
        <v>11</v>
      </c>
      <c r="D3">
        <v>28</v>
      </c>
      <c r="E3">
        <v>27</v>
      </c>
      <c r="F3">
        <v>23</v>
      </c>
      <c r="G3">
        <f>SUM(Table13[[#This Row],[JAN]:[MAR]])</f>
        <v>78</v>
      </c>
      <c r="H3" s="1">
        <f>Table13[[#This Row],[OBTAINED]]/90</f>
        <v>0.8666666666666667</v>
      </c>
    </row>
    <row r="4" spans="1:8" x14ac:dyDescent="0.25">
      <c r="A4">
        <v>1003</v>
      </c>
      <c r="B4" t="s">
        <v>13</v>
      </c>
      <c r="C4" t="s">
        <v>11</v>
      </c>
      <c r="D4">
        <v>31</v>
      </c>
      <c r="E4">
        <v>28</v>
      </c>
      <c r="F4">
        <v>27</v>
      </c>
      <c r="G4">
        <f>SUM(Table13[[#This Row],[JAN]:[MAR]])</f>
        <v>86</v>
      </c>
      <c r="H4" s="1">
        <f>Table13[[#This Row],[OBTAINED]]/90</f>
        <v>0.9555555555555556</v>
      </c>
    </row>
    <row r="5" spans="1:8" x14ac:dyDescent="0.25">
      <c r="A5">
        <v>1004</v>
      </c>
      <c r="B5" t="s">
        <v>14</v>
      </c>
      <c r="C5" t="s">
        <v>11</v>
      </c>
      <c r="D5">
        <v>19</v>
      </c>
      <c r="E5">
        <v>28</v>
      </c>
      <c r="F5">
        <v>29</v>
      </c>
      <c r="G5">
        <f>SUM(Table13[[#This Row],[JAN]:[MAR]])</f>
        <v>76</v>
      </c>
      <c r="H5" s="1">
        <f>Table13[[#This Row],[OBTAINED]]/90</f>
        <v>0.84444444444444444</v>
      </c>
    </row>
    <row r="6" spans="1:8" x14ac:dyDescent="0.25">
      <c r="A6">
        <v>1005</v>
      </c>
      <c r="B6" t="s">
        <v>15</v>
      </c>
      <c r="C6" t="s">
        <v>11</v>
      </c>
      <c r="D6">
        <v>21</v>
      </c>
      <c r="E6">
        <v>28</v>
      </c>
      <c r="F6">
        <v>31</v>
      </c>
      <c r="G6">
        <f>SUM(Table13[[#This Row],[JAN]:[MAR]])</f>
        <v>80</v>
      </c>
      <c r="H6" s="1">
        <f>Table13[[#This Row],[OBTAINED]]/90</f>
        <v>0.88888888888888884</v>
      </c>
    </row>
    <row r="7" spans="1:8" x14ac:dyDescent="0.25">
      <c r="A7">
        <v>1006</v>
      </c>
      <c r="B7" t="s">
        <v>16</v>
      </c>
      <c r="C7" t="s">
        <v>11</v>
      </c>
      <c r="D7">
        <v>29</v>
      </c>
      <c r="E7">
        <v>28</v>
      </c>
      <c r="F7">
        <v>30</v>
      </c>
      <c r="G7">
        <f>SUM(Table13[[#This Row],[JAN]:[MAR]])</f>
        <v>87</v>
      </c>
      <c r="H7" s="1">
        <f>Table13[[#This Row],[OBTAINED]]/90</f>
        <v>0.96666666666666667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BEC5-E47A-4810-8148-93628F8DB08C}">
  <dimension ref="A1:B7"/>
  <sheetViews>
    <sheetView tabSelected="1" zoomScale="166" zoomScaleNormal="166" workbookViewId="0">
      <selection activeCell="A8" sqref="A8"/>
    </sheetView>
  </sheetViews>
  <sheetFormatPr defaultRowHeight="15" x14ac:dyDescent="0.25"/>
  <cols>
    <col min="1" max="1" width="16.5703125" customWidth="1"/>
    <col min="2" max="2" width="14" bestFit="1" customWidth="1"/>
  </cols>
  <sheetData>
    <row r="1" spans="1:2" x14ac:dyDescent="0.25">
      <c r="A1" s="2" t="s">
        <v>17</v>
      </c>
      <c r="B1" s="3">
        <v>1003</v>
      </c>
    </row>
    <row r="2" spans="1:2" x14ac:dyDescent="0.25">
      <c r="A2" s="2" t="s">
        <v>18</v>
      </c>
      <c r="B2" s="3" t="str">
        <f>VLOOKUP(B1,Table1[#All],2,0)</f>
        <v>Umair</v>
      </c>
    </row>
    <row r="3" spans="1:2" x14ac:dyDescent="0.25">
      <c r="A3" s="2" t="s">
        <v>19</v>
      </c>
      <c r="B3" s="3" t="str">
        <f>VLOOKUP(B1,Table1[#All],3,0)</f>
        <v>A</v>
      </c>
    </row>
    <row r="4" spans="1:2" x14ac:dyDescent="0.25">
      <c r="A4" s="2" t="s">
        <v>20</v>
      </c>
      <c r="B4" s="3">
        <f>VLOOKUP(B1,Table1[#All],7,0)</f>
        <v>197</v>
      </c>
    </row>
    <row r="5" spans="1:2" x14ac:dyDescent="0.25">
      <c r="A5" s="2" t="s">
        <v>21</v>
      </c>
      <c r="B5" s="4">
        <f>VLOOKUP(B1,Table1[#All],8,0)</f>
        <v>0.65666666666666662</v>
      </c>
    </row>
    <row r="6" spans="1:2" x14ac:dyDescent="0.25">
      <c r="A6" s="2" t="s">
        <v>22</v>
      </c>
      <c r="B6" s="3" t="str">
        <f>VLOOKUP(B1,Table1[#All],10,0)</f>
        <v>B</v>
      </c>
    </row>
    <row r="7" spans="1:2" x14ac:dyDescent="0.25">
      <c r="A7" s="2" t="s">
        <v>28</v>
      </c>
      <c r="B7" s="4">
        <f>VLOOKUP(B1,Table13[#All],8,0)</f>
        <v>0.9555555555555556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F346B9-1BC4-4040-A464-69D10DFBC28D}">
          <x14:formula1>
            <xm:f>Marksheet!$A$2:$A$7</xm:f>
          </x14:formula1>
          <xm:sqref>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Marksheet</vt:lpstr>
      <vt:lpstr>Attendance_Sheet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Naveed</dc:creator>
  <cp:lastModifiedBy>Yousuf Naveed</cp:lastModifiedBy>
  <dcterms:created xsi:type="dcterms:W3CDTF">2026-10-21T04:42:17Z</dcterms:created>
  <dcterms:modified xsi:type="dcterms:W3CDTF">2026-10-21T05:17:08Z</dcterms:modified>
</cp:coreProperties>
</file>