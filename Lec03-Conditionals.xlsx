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Q:\ExcelCourse2026\"/>
    </mc:Choice>
  </mc:AlternateContent>
  <xr:revisionPtr revIDLastSave="0" documentId="8_{DF3101B2-DDC8-41BF-88F2-D1E3440D065B}" xr6:coauthVersionLast="47" xr6:coauthVersionMax="47" xr10:uidLastSave="{00000000-0000-0000-0000-000000000000}"/>
  <bookViews>
    <workbookView xWindow="-120" yWindow="-120" windowWidth="24240" windowHeight="13140" xr2:uid="{EE5948A7-A7F5-40B9-B1C1-A2819F2964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2" i="1"/>
  <c r="I2" i="1"/>
  <c r="I3" i="1"/>
  <c r="I4" i="1"/>
  <c r="I5" i="1"/>
  <c r="I6" i="1"/>
  <c r="I7" i="1"/>
  <c r="H3" i="1"/>
  <c r="H4" i="1"/>
  <c r="H5" i="1"/>
  <c r="H6" i="1"/>
  <c r="H7" i="1"/>
  <c r="H2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<sst xmlns="http://schemas.openxmlformats.org/spreadsheetml/2006/main" count="22" uniqueCount="17">
  <si>
    <t>ROLL NO</t>
  </si>
  <si>
    <t>Name</t>
  </si>
  <si>
    <t>Section</t>
  </si>
  <si>
    <t>Sub 1</t>
  </si>
  <si>
    <t>Sub 2</t>
  </si>
  <si>
    <t>Sub 3</t>
  </si>
  <si>
    <t>Obtained</t>
  </si>
  <si>
    <t>Percentage</t>
  </si>
  <si>
    <t>Result</t>
  </si>
  <si>
    <t>Grade</t>
  </si>
  <si>
    <t>Saad</t>
  </si>
  <si>
    <t>Uzair</t>
  </si>
  <si>
    <t>Umair</t>
  </si>
  <si>
    <t>Taha</t>
  </si>
  <si>
    <t>Hussain</t>
  </si>
  <si>
    <t>Abdul Rehman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</si>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</sst>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2">
    <cellStyle name="Normal" xfId="0" builtinId="0"/>
    <cellStyle name="Percent" xfId="1" builtinId="5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2E69F63-FBD1-4B22-9BDD-691AB9104157}" name="Table1" displayName="Table1" ref="A1:J7" totalsRowShown="0">
  <autoFilter ref="A1:J7" xr:uid="{D2E69F63-FBD1-4B22-9BDD-691AB9104157}"/>
  <tableColumns count="10">
    <tableColumn id="1" xr3:uid="{F0A805CA-8540-4714-BD36-93CC6A2BDBA1}" name="ROLL NO"/>
    <tableColumn id="2" xr3:uid="{CEC7BF90-04B7-47F8-A7CF-873D88BB1346}" name="Name"/>
    <tableColumn id="3" xr3:uid="{618C17F3-E69F-48F9-B681-3772B2DC812A}" name="Section"/>
    <tableColumn id="4" xr3:uid="{615E2D22-433E-4FD0-A4BE-6CD63421C5DA}" name="Sub 1"/>
    <tableColumn id="5" xr3:uid="{949A711F-239F-4711-BF91-78A8DCF6B148}" name="Sub 2"/>
    <tableColumn id="6" xr3:uid="{283557F9-EFFE-4C8F-B319-6A4C4B04B828}" name="Sub 3"/>
    <tableColumn id="7" xr3:uid="{B1D3E9B5-3E92-48B9-B2B5-254E8E4DE46D}" name="Obtained">
      <calculatedColumnFormula>SUM(D2,E2,F2)</calculatedColumnFormula>
    </tableColumn>
    <tableColumn id="8" xr3:uid="{49D1A575-8008-42F0-A07E-B5E16EE9D0F1}" name="Percentage" dataDxfId="0" dataCellStyle="Percent">
      <calculatedColumnFormula>G2/300</calculatedColumnFormula>
    </tableColumn>
    <tableColumn id="9" xr3:uid="{44BBF9AC-B848-48EB-B6BA-091A904BB6E8}" name="Result">
      <calculatedColumnFormula>IF(H2&gt;=40%, "PASS","FAIL")</calculatedColumnFormula>
    </tableColumn>
    <tableColumn id="10" xr3:uid="{4CF42F69-057E-4B67-A164-1B779065AE73}" name="Grade">
      <calculatedColumnFormula>IF(H2&gt;=80%, "A+", IF(H2&gt;=70%, "A", IF(H2&gt;=60%, "B", IF(H2&gt;=50%, "C", IF(H2&gt;=40%, "D", "F")))))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8CC3B-6055-42EB-A83B-3329C5743197}">
  <dimension ref="A1:J7"/>
  <sheetViews>
    <sheetView tabSelected="1" zoomScale="166" zoomScaleNormal="166" workbookViewId="0">
      <selection activeCell="B4" sqref="B4"/>
    </sheetView>
  </sheetViews>
  <sheetFormatPr defaultRowHeight="15" x14ac:dyDescent="0.25"/>
  <cols>
    <col min="1" max="1" width="11.28515625" bestFit="1" customWidth="1"/>
    <col min="2" max="2" width="14" bestFit="1" customWidth="1"/>
    <col min="3" max="3" width="10.140625" bestFit="1" customWidth="1"/>
    <col min="4" max="6" width="8.140625" bestFit="1" customWidth="1"/>
    <col min="7" max="7" width="11.5703125" bestFit="1" customWidth="1"/>
    <col min="8" max="8" width="13.42578125" bestFit="1" customWidth="1"/>
    <col min="9" max="9" width="9.140625" bestFit="1" customWidth="1"/>
    <col min="10" max="10" width="8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1001</v>
      </c>
      <c r="B2" t="s">
        <v>10</v>
      </c>
      <c r="C2" t="s">
        <v>16</v>
      </c>
      <c r="D2">
        <v>94</v>
      </c>
      <c r="E2">
        <v>100</v>
      </c>
      <c r="F2">
        <v>40</v>
      </c>
      <c r="G2">
        <f>SUM(D2,E2,F2)</f>
        <v>234</v>
      </c>
      <c r="H2" s="1">
        <f>G2/300</f>
        <v>0.78</v>
      </c>
      <c r="I2" t="str">
        <f>IF(H2&gt;=40%, "PASS","FAIL")</f>
        <v>PASS</v>
      </c>
      <c r="J2" t="str">
        <f>IF(H2&gt;=80%, "A+", IF(H2&gt;=70%, "A", IF(H2&gt;=60%, "B", IF(H2&gt;=50%, "C", IF(H2&gt;=40%, "D", "F")))))</f>
        <v>A</v>
      </c>
    </row>
    <row r="3" spans="1:10" x14ac:dyDescent="0.25">
      <c r="A3">
        <v>1002</v>
      </c>
      <c r="B3" t="s">
        <v>11</v>
      </c>
      <c r="C3" t="s">
        <v>16</v>
      </c>
      <c r="D3">
        <v>82</v>
      </c>
      <c r="E3">
        <v>32</v>
      </c>
      <c r="F3">
        <v>44</v>
      </c>
      <c r="G3">
        <f>SUM(D3,E3,F3)</f>
        <v>158</v>
      </c>
      <c r="H3" s="1">
        <f t="shared" ref="H3:H7" si="0">G3/300</f>
        <v>0.52666666666666662</v>
      </c>
      <c r="I3" t="str">
        <f t="shared" ref="I3:I7" si="1">IF(H3&gt;=40%, "PASS","FAIL")</f>
        <v>PASS</v>
      </c>
      <c r="J3" t="str">
        <f t="shared" ref="J3:J7" si="2">IF(H3&gt;=80%, "A+", IF(H3&gt;=70%, "A", IF(H3&gt;=60%, "B", IF(H3&gt;=50%, "C", IF(H3&gt;=40%, "D", "F")))))</f>
        <v>C</v>
      </c>
    </row>
    <row r="4" spans="1:10" x14ac:dyDescent="0.25">
      <c r="A4">
        <v>1003</v>
      </c>
      <c r="B4" t="s">
        <v>12</v>
      </c>
      <c r="C4" t="s">
        <v>16</v>
      </c>
      <c r="D4">
        <v>100</v>
      </c>
      <c r="E4">
        <v>45</v>
      </c>
      <c r="F4">
        <v>52</v>
      </c>
      <c r="G4">
        <f>SUM(D4,E4,F4)</f>
        <v>197</v>
      </c>
      <c r="H4" s="1">
        <f t="shared" si="0"/>
        <v>0.65666666666666662</v>
      </c>
      <c r="I4" t="str">
        <f t="shared" si="1"/>
        <v>PASS</v>
      </c>
      <c r="J4" t="str">
        <f t="shared" si="2"/>
        <v>B</v>
      </c>
    </row>
    <row r="5" spans="1:10" x14ac:dyDescent="0.25">
      <c r="A5">
        <v>1004</v>
      </c>
      <c r="B5" t="s">
        <v>13</v>
      </c>
      <c r="C5" t="s">
        <v>16</v>
      </c>
      <c r="D5">
        <v>44</v>
      </c>
      <c r="E5">
        <v>21</v>
      </c>
      <c r="F5">
        <v>51</v>
      </c>
      <c r="G5">
        <f>SUM(D5,E5,F5)</f>
        <v>116</v>
      </c>
      <c r="H5" s="1">
        <f t="shared" si="0"/>
        <v>0.38666666666666666</v>
      </c>
      <c r="I5" t="str">
        <f t="shared" si="1"/>
        <v>FAIL</v>
      </c>
      <c r="J5" t="str">
        <f t="shared" si="2"/>
        <v>F</v>
      </c>
    </row>
    <row r="6" spans="1:10" x14ac:dyDescent="0.25">
      <c r="A6">
        <v>1005</v>
      </c>
      <c r="B6" t="s">
        <v>14</v>
      </c>
      <c r="C6" t="s">
        <v>16</v>
      </c>
      <c r="D6">
        <v>73</v>
      </c>
      <c r="E6">
        <v>10</v>
      </c>
      <c r="F6">
        <v>57</v>
      </c>
      <c r="G6">
        <f>SUM(D6,E6,F6)</f>
        <v>140</v>
      </c>
      <c r="H6" s="1">
        <f t="shared" si="0"/>
        <v>0.46666666666666667</v>
      </c>
      <c r="I6" t="str">
        <f t="shared" si="1"/>
        <v>PASS</v>
      </c>
      <c r="J6" t="str">
        <f t="shared" si="2"/>
        <v>D</v>
      </c>
    </row>
    <row r="7" spans="1:10" x14ac:dyDescent="0.25">
      <c r="A7">
        <v>1006</v>
      </c>
      <c r="B7" t="s">
        <v>15</v>
      </c>
      <c r="C7" t="s">
        <v>16</v>
      </c>
      <c r="D7">
        <v>100</v>
      </c>
      <c r="E7">
        <v>0</v>
      </c>
      <c r="F7">
        <v>93</v>
      </c>
      <c r="G7">
        <f>SUM(D7,E7,F7)</f>
        <v>193</v>
      </c>
      <c r="H7" s="1">
        <f t="shared" si="0"/>
        <v>0.64333333333333331</v>
      </c>
      <c r="I7" t="str">
        <f t="shared" si="1"/>
        <v>PASS</v>
      </c>
      <c r="J7" t="str">
        <f t="shared" si="2"/>
        <v>B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Yousuf Naveed</dc:creator>
  <cp:lastModifiedBy>Yousuf Naveed</cp:lastModifiedBy>
  <dcterms:created xsi:type="dcterms:W3CDTF">2026-10-14T04:26:37Z</dcterms:created>
  <dcterms:modified xsi:type="dcterms:W3CDTF">2026-10-14T05:20:35Z</dcterms:modified>
</cp:coreProperties>
</file>